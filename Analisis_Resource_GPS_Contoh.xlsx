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loads\documen\Excel_Data_Analytics_Course-main\Project ngasal\"/>
    </mc:Choice>
  </mc:AlternateContent>
  <xr:revisionPtr revIDLastSave="0" documentId="13_ncr:1_{9C095D71-7F19-40B8-A23A-36EAF935A8B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anduan" sheetId="1" r:id="rId1"/>
    <sheet name="Data_Pabrik" sheetId="2" r:id="rId2"/>
    <sheet name="Analisis" sheetId="3" r:id="rId3"/>
    <sheet name="Ironwor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8" i="3" l="1"/>
  <c r="E21" i="4"/>
  <c r="D21" i="4"/>
  <c r="C21" i="4"/>
  <c r="B21" i="4"/>
  <c r="E20" i="4"/>
  <c r="D20" i="4"/>
  <c r="C20" i="4"/>
  <c r="B20" i="4"/>
  <c r="C13" i="4"/>
  <c r="B13" i="4"/>
  <c r="D13" i="4" s="1"/>
  <c r="C12" i="4"/>
  <c r="B12" i="4"/>
  <c r="D12" i="4" s="1"/>
  <c r="A6" i="3"/>
  <c r="A7" i="3" s="1"/>
  <c r="E14" i="2"/>
  <c r="C14" i="2"/>
  <c r="G13" i="2"/>
  <c r="D13" i="2"/>
  <c r="F13" i="2" s="1"/>
  <c r="G12" i="2"/>
  <c r="D12" i="2"/>
  <c r="F12" i="2" s="1"/>
  <c r="G11" i="2"/>
  <c r="D11" i="2"/>
  <c r="F11" i="2" s="1"/>
  <c r="G10" i="2"/>
  <c r="D10" i="2"/>
  <c r="F10" i="2" s="1"/>
  <c r="G9" i="2"/>
  <c r="D9" i="2"/>
  <c r="F9" i="2" s="1"/>
  <c r="G8" i="2"/>
  <c r="D8" i="2"/>
  <c r="F8" i="2" s="1"/>
  <c r="G7" i="2"/>
  <c r="D7" i="2"/>
  <c r="F7" i="2" s="1"/>
  <c r="G6" i="2"/>
  <c r="D6" i="2"/>
  <c r="F6" i="2" s="1"/>
  <c r="G5" i="2"/>
  <c r="D5" i="2"/>
  <c r="D14" i="2" s="1"/>
  <c r="G14" i="2" s="1"/>
  <c r="D15" i="4" l="1"/>
  <c r="D14" i="4"/>
  <c r="D16" i="4" s="1"/>
  <c r="F14" i="2"/>
  <c r="A30" i="3" s="1"/>
  <c r="A8" i="3"/>
  <c r="H5" i="2"/>
  <c r="H6" i="2"/>
  <c r="H7" i="2"/>
  <c r="H8" i="2"/>
  <c r="H9" i="2"/>
  <c r="H10" i="2"/>
  <c r="H11" i="2"/>
  <c r="H12" i="2"/>
  <c r="H13" i="2"/>
  <c r="A29" i="3"/>
  <c r="F5" i="2"/>
  <c r="C21" i="3" l="1"/>
  <c r="C24" i="3"/>
  <c r="C23" i="3"/>
  <c r="C25" i="3" s="1"/>
  <c r="C5" i="3"/>
  <c r="C22" i="3"/>
  <c r="C7" i="3"/>
  <c r="A9" i="3"/>
  <c r="C8" i="3"/>
  <c r="C6" i="3"/>
  <c r="H14" i="2"/>
  <c r="B6" i="3" l="1"/>
  <c r="H6" i="3"/>
  <c r="B8" i="3"/>
  <c r="H8" i="3"/>
  <c r="H5" i="3"/>
  <c r="B5" i="3"/>
  <c r="A10" i="3"/>
  <c r="C9" i="3"/>
  <c r="H7" i="3"/>
  <c r="B7" i="3"/>
  <c r="E6" i="3" l="1"/>
  <c r="D6" i="3"/>
  <c r="F6" i="3"/>
  <c r="G6" i="3"/>
  <c r="H9" i="3"/>
  <c r="B9" i="3"/>
  <c r="A11" i="3"/>
  <c r="C10" i="3"/>
  <c r="E8" i="3"/>
  <c r="D8" i="3"/>
  <c r="F8" i="3"/>
  <c r="G8" i="3"/>
  <c r="E7" i="3"/>
  <c r="D7" i="3"/>
  <c r="F7" i="3"/>
  <c r="G7" i="3"/>
  <c r="E5" i="3"/>
  <c r="D5" i="3"/>
  <c r="F5" i="3"/>
  <c r="G5" i="3"/>
  <c r="H10" i="3" l="1"/>
  <c r="B10" i="3"/>
  <c r="A12" i="3"/>
  <c r="C11" i="3"/>
  <c r="E9" i="3"/>
  <c r="D9" i="3"/>
  <c r="G9" i="3"/>
  <c r="F9" i="3"/>
  <c r="B11" i="3" l="1"/>
  <c r="H11" i="3"/>
  <c r="A13" i="3"/>
  <c r="C13" i="3" s="1"/>
  <c r="C12" i="3"/>
  <c r="E10" i="3"/>
  <c r="D10" i="3"/>
  <c r="F10" i="3"/>
  <c r="G10" i="3"/>
  <c r="E11" i="3" l="1"/>
  <c r="D11" i="3"/>
  <c r="F11" i="3"/>
  <c r="G11" i="3"/>
  <c r="H12" i="3"/>
  <c r="B12" i="3"/>
  <c r="H13" i="3"/>
  <c r="B13" i="3"/>
  <c r="E13" i="3" l="1"/>
  <c r="D13" i="3"/>
  <c r="F13" i="3"/>
  <c r="G13" i="3"/>
  <c r="E12" i="3"/>
  <c r="F12" i="3"/>
  <c r="D12" i="3"/>
  <c r="G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" authorId="0" shapeId="0" xr:uid="{00000000-0006-0000-0100-000003000000}">
      <text>
        <r>
          <rPr>
            <sz val="10"/>
            <rFont val="Arial"/>
            <family val="2"/>
          </rPr>
          <t>Asumsi: angka 'Profit per Jam' dikali 24 untuk jadi profit per hari (sama seperti rumus asli D = C*24).</t>
        </r>
      </text>
    </comment>
    <comment ref="C6" authorId="0" shapeId="0" xr:uid="{00000000-0006-0000-0100-000001000000}">
      <text>
        <r>
          <rPr>
            <sz val="10"/>
            <rFont val="Arial"/>
            <family val="2"/>
          </rPr>
          <t>Di file asli sel ini berisi rumus =213300000+17775000. Dua angka itu dijumlahkan jadi satu nilai supaya data bersih (satu sel = satu angka).</t>
        </r>
      </text>
    </comment>
    <comment ref="C9" authorId="0" shapeId="0" xr:uid="{00000000-0006-0000-0100-000002000000}">
      <text>
        <r>
          <rPr>
            <sz val="10"/>
            <rFont val="Arial"/>
            <family val="2"/>
          </rPr>
          <t>Di file asli sel ini berisi rumus =52441600+30488320. Dua angka itu dijumlahkan jadi satu nilai supaya data bersih (satu sel = satu angka).</t>
        </r>
      </text>
    </comment>
    <comment ref="F14" authorId="0" shapeId="0" xr:uid="{00000000-0006-0000-0100-000004000000}">
      <text>
        <r>
          <rPr>
            <sz val="10"/>
            <rFont val="Arial"/>
            <family val="2"/>
          </rPr>
          <t>Payback gabungan = total harga upgrade / total profit per hari. BUKAN penjumlahan payback tiap pabrik (menjumlahkan payback itu tidak bermakna).</t>
        </r>
      </text>
    </comment>
  </commentList>
</comments>
</file>

<file path=xl/sharedStrings.xml><?xml version="1.0" encoding="utf-8"?>
<sst xmlns="http://schemas.openxmlformats.org/spreadsheetml/2006/main" count="140" uniqueCount="123">
  <si>
    <t>Panduan: contoh project analisis data kecil</t>
  </si>
  <si>
    <t>Data kamu sendiri (Resource GPS), dirapikan jadi contoh alur kerja. Tujuannya jadi tolak ukur, bukan jawaban akhir.</t>
  </si>
  <si>
    <t>ALUR KERJA (6 langkah)</t>
  </si>
  <si>
    <t>1. Pertanyaan</t>
  </si>
  <si>
    <t>Mulai dari keputusan: 'Pabrik mana yang di-upgrade duluan?' dan 'Mana bottleneck Ironworks?'. Tanpa pertanyaan, data cuma angka.</t>
  </si>
  <si>
    <t>2. Data</t>
  </si>
  <si>
    <t>Satu baris = satu pabrik, satu kolom = satu jenis informasi. Lihat sheet Data_Pabrik.</t>
  </si>
  <si>
    <t>3. Bersihkan</t>
  </si>
  <si>
    <t>Lihat 'Log pembersihan' di bawah. Intinya: nama kolom jujur, satu sel satu angka, penulisan seragam.</t>
  </si>
  <si>
    <t>4. Hitung metrik</t>
  </si>
  <si>
    <t>Payback, Return Harian, Kontribusi Profit, Median. Semua pakai rumus, jadi otomatis update kalau input diubah.</t>
  </si>
  <si>
    <t>5. Visualisasi</t>
  </si>
  <si>
    <t>Sheet Analisis: data diurutkan dulu, lalu satu warna menyorot yang penting, sisanya abu-abu. Satu chart = satu pesan.</t>
  </si>
  <si>
    <t>6. Kesimpulan + batasan</t>
  </si>
  <si>
    <t>Tulis temuan dan juga batas analisisnya (lihat 'Batasan' di bawah).</t>
  </si>
  <si>
    <t>LEGENDA WARNA</t>
  </si>
  <si>
    <t>Biru</t>
  </si>
  <si>
    <t>Angka input dari game (diketik manual).</t>
  </si>
  <si>
    <t>Hitam</t>
  </si>
  <si>
    <t>Rumus (jangan diketik ulang).</t>
  </si>
  <si>
    <t>Kuning</t>
  </si>
  <si>
    <t>Asumsi yang bisa diubah.</t>
  </si>
  <si>
    <t>LOG PEMBERSIHAN (sebelum → sesudah)</t>
  </si>
  <si>
    <t>Nama kolom</t>
  </si>
  <si>
    <t>'PROFIT TOTAL' → 'Profit per Jam'. Alasan: dikali 24 jadi per hari, jadi aslinya per jam (asumsi). Nama kolom yang menipu bikin salah baca.</t>
  </si>
  <si>
    <t>Rumus di dalam angka</t>
  </si>
  <si>
    <t>'=213300000+17775000' → satu nilai (Ironworks, Glazier). Rumus asli disimpan di komentar sel. Satu sel sebaiknya berisi satu angka.</t>
  </si>
  <si>
    <t>Penulisan seragam</t>
  </si>
  <si>
    <t>'iya'/'gak' → 'Ya'/'Tidak', plus dropdown supaya tidak ada variasi ejaan.</t>
  </si>
  <si>
    <t>Angka 24 dan resep 7/10</t>
  </si>
  <si>
    <t>Tadinya tertanam di rumus. Sekarang jadi sel input supaya terlihat dan bisa diubah.</t>
  </si>
  <si>
    <t>Total</t>
  </si>
  <si>
    <t>Total payback dibuang karena menjumlahkan payback tidak bermakna. Diganti 'Payback gabungan' = total harga / total profit per hari.</t>
  </si>
  <si>
    <t>Tanggal</t>
  </si>
  <si>
    <t>Tanggal data dijadikan sel berlabel (Tanggal data). Kalau nanti dicatat tiap hari, ini jadi kolom sendiri.</t>
  </si>
  <si>
    <t>BATASAN ANALISIS (jujur)</t>
  </si>
  <si>
    <t>Definisi payback</t>
  </si>
  <si>
    <t>Payback di sini = harga upgrade / profit per hari SAAT INI. Payback upgrade yang sebenarnya = harga / KENAIKAN profit setelah upgrade. Datamu belum punya angka kenaikan itu, jadi payback ini hanya pembanding kasar antar pabrik.</t>
  </si>
  <si>
    <t>Cuma satu tanggal</t>
  </si>
  <si>
    <t>Data hanya satu snapshot, jadi belum bisa bicara tren atau pertumbuhan.</t>
  </si>
  <si>
    <t>Pertanyaan upgrade kit</t>
  </si>
  <si>
    <t>Belum bisa dijawab presisi tanpa tabel level → kit → pengali kecepatan (lihat sheet Ironworks).</t>
  </si>
  <si>
    <t>LATIHAN LANJUTAN (dikerjakan sendiri)</t>
  </si>
  <si>
    <t>Latihan 1</t>
  </si>
  <si>
    <t>Cari di game: berapa kenaikan profit tiap pabrik setelah upgrade. Tambah kolom itu, hitung payback yang benar, bandingkan peringkatnya dengan peringkat sekarang.</t>
  </si>
  <si>
    <t>Latihan 2</t>
  </si>
  <si>
    <t>Bikin sheet baru, catat profit tiap hari beberapa minggu (tanggal | pabrik | profit). Buat line chart tren.</t>
  </si>
  <si>
    <t>Latihan 3</t>
  </si>
  <si>
    <t>Pakai AVERAGEIF: apakah pabrik 'Beli Material = Ya' rata-rata paybacknya beda dari yang 'Tidak'? Hati-hati: sampel cuma 2 pabrik 'Tidak', jangan terlalu yakin.</t>
  </si>
  <si>
    <t>Latihan 4</t>
  </si>
  <si>
    <t>Selesaikan bagian kosong di sheet Ironworks (pembagian upgrade kit).</t>
  </si>
  <si>
    <t>Data Pabrik — Resource GPS (sudah dibersihkan)</t>
  </si>
  <si>
    <t>Tanggal data</t>
  </si>
  <si>
    <t>Jam per hari</t>
  </si>
  <si>
    <t>Pabrik</t>
  </si>
  <si>
    <t>Beli Material?</t>
  </si>
  <si>
    <t>Profit per Jam</t>
  </si>
  <si>
    <t>Profit per Hari</t>
  </si>
  <si>
    <t>Harga Upgrade</t>
  </si>
  <si>
    <t>Payback (hari)</t>
  </si>
  <si>
    <t>Return Harian</t>
  </si>
  <si>
    <t>Kontribusi Profit</t>
  </si>
  <si>
    <t>Concrete</t>
  </si>
  <si>
    <t>Ya</t>
  </si>
  <si>
    <t>Ironworks</t>
  </si>
  <si>
    <t>Tidak</t>
  </si>
  <si>
    <t>Brick</t>
  </si>
  <si>
    <t>Oil</t>
  </si>
  <si>
    <t>Glazier</t>
  </si>
  <si>
    <t>Aluminium</t>
  </si>
  <si>
    <t>Copper</t>
  </si>
  <si>
    <t>Medical</t>
  </si>
  <si>
    <t>Arms</t>
  </si>
  <si>
    <t>Total / Gabungan</t>
  </si>
  <si>
    <t>Catatan:</t>
  </si>
  <si>
    <t>Biru = angka input dari game. Hitam = rumus. Kuning = asumsi yang bisa kamu ubah.</t>
  </si>
  <si>
    <t>Kolom 'Profit per Jam' dulu bernama 'PROFIT TOTAL' di file asli. Aku ganti namanya karena dikali 24 untuk jadi per hari, artinya angka aslinya per jam (asumsi — koreksi kalau salah).</t>
  </si>
  <si>
    <t>Return Harian = Profit per Hari / Harga Upgrade (kebalikan Payback). Makin BESAR makin bagus, cocok untuk dibaca di bar chart.</t>
  </si>
  <si>
    <t>Analisis: pabrik mana yang paling cepat balik modal upgrade?</t>
  </si>
  <si>
    <t>Keputusan yang dibantu: urutan upgrade pabrik kalau modal terbatas.</t>
  </si>
  <si>
    <t>Peringkat</t>
  </si>
  <si>
    <t>Kategori</t>
  </si>
  <si>
    <t>Batas kategori (asumsi, boleh diubah)</t>
  </si>
  <si>
    <t>Cepat jika payback ≤ (hari)</t>
  </si>
  <si>
    <t>Di atas batas 'Sedang' = Lama. Angka 2 dan 5 hanya tebakan awal, bukan aturan game.</t>
  </si>
  <si>
    <t>Sedang jika payback ≤ (hari)</t>
  </si>
  <si>
    <t>Statistik ringkas payback</t>
  </si>
  <si>
    <t>Tercepat</t>
  </si>
  <si>
    <t>Terlama</t>
  </si>
  <si>
    <t>Rata-rata</t>
  </si>
  <si>
    <t>Median</t>
  </si>
  <si>
    <t>Selisih rata-rata vs median</t>
  </si>
  <si>
    <t>Kalau rata-rata jauh di atas median, ada pabrik 'ekstrem' yang menarik rata-rata ke atas.</t>
  </si>
  <si>
    <t>Ringkasan otomatis</t>
  </si>
  <si>
    <t>Ironworks — mana bottleneck-nya?</t>
  </si>
  <si>
    <t>INPUT (ubah angka biru di sini)</t>
  </si>
  <si>
    <t>Supply Iron Ore (per jam)</t>
  </si>
  <si>
    <t>Angka dari file asli (sheet Ironworks Balance).</t>
  </si>
  <si>
    <t>Supply Coal (per jam)</t>
  </si>
  <si>
    <t>Kecepatan maks pabrik (steel/jam)</t>
  </si>
  <si>
    <t>Resep: Iron Ore per 1 Steel</t>
  </si>
  <si>
    <t>Resep dulu ditulis langsung di dalam rumus (/7, /10). Sekarang jadi sel input supaya mudah diubah.</t>
  </si>
  <si>
    <t>Resep: Coal per 1 Steel</t>
  </si>
  <si>
    <t>LANGKAH 1 — Kapasitas dari tiap bahan (konsep bottleneck)</t>
  </si>
  <si>
    <t>Bahan</t>
  </si>
  <si>
    <t>Supply / jam</t>
  </si>
  <si>
    <t>Resep per Steel</t>
  </si>
  <si>
    <t>Bisa jadi Steel / jam</t>
  </si>
  <si>
    <t>Iron Ore</t>
  </si>
  <si>
    <t>Coal</t>
  </si>
  <si>
    <t>Kecepatan nyata Steel / jam</t>
  </si>
  <si>
    <t>MIN = bahan yang paling kurang menentukan segalanya; juga dibatasi kecepatan maks pabrik.</t>
  </si>
  <si>
    <t>Bottleneck (penahan)</t>
  </si>
  <si>
    <t>Terpenuhi dari target pabrik</t>
  </si>
  <si>
    <t>LANGKAH 2 — Kalau pabrik mau jalan penuh, kurangnya berapa?</t>
  </si>
  <si>
    <t>Dibutuhkan / jam</t>
  </si>
  <si>
    <t>Kurang (gap)</t>
  </si>
  <si>
    <t>% kurang</t>
  </si>
  <si>
    <t>Gap negatif = supply sudah lebih dari cukup.</t>
  </si>
  <si>
    <t>BAGIAN YANG SENGAJA DIKOSONGKAN (latihan untuk kamu)</t>
  </si>
  <si>
    <t>Cara bagi upgrade kit ke miner Iron Ore dan Coal secara seimbang. Datanya belum cukup: butuh tabel level upgrade → kit yang dipakai → pengali kecepatan.</t>
  </si>
  <si>
    <t>Kalau tabel itu ada, hitung 'tambahan Steel/jam per 1 kit' untuk tiap bahan, lalu selalu taruh kit berikutnya ke yang tambahannya lebih besar.</t>
  </si>
  <si>
    <t>Bagian 'TINY CALCULATOR' dan 'FORMULA TU 1-3' di file asli tidak kubawa karena aku tidak yakin maknanya. Itu bagianmu.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</si>
</sst>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0.0%"/>
    <numFmt numFmtId="167" formatCode="#,##0.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A5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0" borderId="0" xfId="0" applyFont="1"/>
    <xf numFmtId="164" fontId="8" fillId="0" borderId="0" xfId="0" applyNumberFormat="1" applyFont="1"/>
    <xf numFmtId="0" fontId="8" fillId="3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3" fontId="8" fillId="0" borderId="1" xfId="0" applyNumberFormat="1" applyFont="1" applyBorder="1"/>
    <xf numFmtId="3" fontId="6" fillId="0" borderId="1" xfId="0" applyNumberFormat="1" applyFont="1" applyBorder="1"/>
    <xf numFmtId="2" fontId="6" fillId="0" borderId="1" xfId="0" applyNumberFormat="1" applyFont="1" applyBorder="1"/>
    <xf numFmtId="165" fontId="6" fillId="0" borderId="1" xfId="0" applyNumberFormat="1" applyFont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2" fontId="5" fillId="4" borderId="1" xfId="0" applyNumberFormat="1" applyFont="1" applyFill="1" applyBorder="1"/>
    <xf numFmtId="165" fontId="5" fillId="4" borderId="1" xfId="0" applyNumberFormat="1" applyFont="1" applyFill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2" fontId="6" fillId="0" borderId="0" xfId="0" applyNumberFormat="1" applyFont="1"/>
    <xf numFmtId="0" fontId="5" fillId="4" borderId="0" xfId="0" applyFont="1" applyFill="1"/>
    <xf numFmtId="167" fontId="6" fillId="0" borderId="1" xfId="0" applyNumberFormat="1" applyFont="1" applyBorder="1"/>
    <xf numFmtId="167" fontId="5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2E9E5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Hari balik modal (pendek = bagus)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Analisis!$C$4</c:f>
              <c:strCache>
                <c:ptCount val="1"/>
                <c:pt idx="0">
                  <c:v>Payback (hari)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9E5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4A0-461D-B0C4-DE74262ADD6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4A0-461D-B0C4-DE74262ADD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Analisis!$B$5:$B$13</c:f>
              <c:strCache>
                <c:ptCount val="9"/>
                <c:pt idx="0">
                  <c:v>Ironworks</c:v>
                </c:pt>
                <c:pt idx="1">
                  <c:v>Concrete</c:v>
                </c:pt>
                <c:pt idx="2">
                  <c:v>Brick</c:v>
                </c:pt>
                <c:pt idx="3">
                  <c:v>Glazier</c:v>
                </c:pt>
                <c:pt idx="4">
                  <c:v>Oil</c:v>
                </c:pt>
                <c:pt idx="5">
                  <c:v>Aluminium</c:v>
                </c:pt>
                <c:pt idx="6">
                  <c:v>Copper</c:v>
                </c:pt>
                <c:pt idx="7">
                  <c:v>Medical</c:v>
                </c:pt>
                <c:pt idx="8">
                  <c:v>Arms</c:v>
                </c:pt>
              </c:strCache>
            </c:strRef>
          </c:cat>
          <c:val>
            <c:numRef>
              <c:f>Analisis!$C$5:$C$13</c:f>
              <c:numCache>
                <c:formatCode>0.00</c:formatCode>
                <c:ptCount val="9"/>
                <c:pt idx="0">
                  <c:v>1.4551552526236071</c:v>
                </c:pt>
                <c:pt idx="1">
                  <c:v>1.6208482121746817</c:v>
                </c:pt>
                <c:pt idx="2">
                  <c:v>1.6619237113338579</c:v>
                </c:pt>
                <c:pt idx="3">
                  <c:v>2.2408478548313244</c:v>
                </c:pt>
                <c:pt idx="4">
                  <c:v>2.3620889553722519</c:v>
                </c:pt>
                <c:pt idx="5">
                  <c:v>3.9297999951542066</c:v>
                </c:pt>
                <c:pt idx="6">
                  <c:v>4.952694744708273</c:v>
                </c:pt>
                <c:pt idx="7">
                  <c:v>8.0576347682038278</c:v>
                </c:pt>
                <c:pt idx="8">
                  <c:v>11.443513230836688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A0-461D-B0C4-DE74262AD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0624978"/>
        <c:axId val="85206315"/>
      </c:barChart>
      <c:catAx>
        <c:axId val="9062497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206315"/>
        <c:crosses val="autoZero"/>
        <c:auto val="1"/>
        <c:lblAlgn val="ctr"/>
        <c:lblOffset val="100"/>
        <c:noMultiLvlLbl val="0"/>
      </c:catAx>
      <c:valAx>
        <c:axId val="852063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hari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2497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Return harian (panjang = bagus)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Analisis!$D$4</c:f>
              <c:strCache>
                <c:ptCount val="1"/>
                <c:pt idx="0">
                  <c:v>Return Harian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9E5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AA6-4B53-AD2D-E71188407BB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AA6-4B53-AD2D-E71188407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Analisis!$B$5:$B$13</c:f>
              <c:strCache>
                <c:ptCount val="9"/>
                <c:pt idx="0">
                  <c:v>Ironworks</c:v>
                </c:pt>
                <c:pt idx="1">
                  <c:v>Concrete</c:v>
                </c:pt>
                <c:pt idx="2">
                  <c:v>Brick</c:v>
                </c:pt>
                <c:pt idx="3">
                  <c:v>Glazier</c:v>
                </c:pt>
                <c:pt idx="4">
                  <c:v>Oil</c:v>
                </c:pt>
                <c:pt idx="5">
                  <c:v>Aluminium</c:v>
                </c:pt>
                <c:pt idx="6">
                  <c:v>Copper</c:v>
                </c:pt>
                <c:pt idx="7">
                  <c:v>Medical</c:v>
                </c:pt>
                <c:pt idx="8">
                  <c:v>Arms</c:v>
                </c:pt>
              </c:strCache>
            </c:strRef>
          </c:cat>
          <c:val>
            <c:numRef>
              <c:f>Analisis!$D$5:$D$13</c:f>
              <c:numCache>
                <c:formatCode>0.0%</c:formatCode>
                <c:ptCount val="9"/>
                <c:pt idx="0">
                  <c:v>0.68721189591078069</c:v>
                </c:pt>
                <c:pt idx="1">
                  <c:v>0.61696091743119263</c:v>
                </c:pt>
                <c:pt idx="2">
                  <c:v>0.60171233684210523</c:v>
                </c:pt>
                <c:pt idx="3">
                  <c:v>0.44625965919282512</c:v>
                </c:pt>
                <c:pt idx="4">
                  <c:v>0.42335408144796383</c:v>
                </c:pt>
                <c:pt idx="5">
                  <c:v>0.25446587643979057</c:v>
                </c:pt>
                <c:pt idx="6">
                  <c:v>0.20191028350141185</c:v>
                </c:pt>
                <c:pt idx="7">
                  <c:v>0.12410589816581072</c:v>
                </c:pt>
                <c:pt idx="8">
                  <c:v>8.7385751196172243E-2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A6-4B53-AD2D-E71188407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4676754"/>
        <c:axId val="81231184"/>
      </c:barChart>
      <c:catAx>
        <c:axId val="2467675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231184"/>
        <c:crosses val="autoZero"/>
        <c:auto val="1"/>
        <c:lblAlgn val="ctr"/>
        <c:lblOffset val="100"/>
        <c:noMultiLvlLbl val="0"/>
      </c:catAx>
      <c:valAx>
        <c:axId val="812311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% per hari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67675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160920</xdr:rowOff>
    </xdr:from>
    <xdr:to>
      <xdr:col>18</xdr:col>
      <xdr:colOff>255960</xdr:colOff>
      <xdr:row>17</xdr:row>
      <xdr:rowOff>172440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18</xdr:col>
      <xdr:colOff>255960</xdr:colOff>
      <xdr:row>36</xdr:row>
      <xdr:rowOff>172440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4"/>
  <sheetViews>
    <sheetView tabSelected="1" topLeftCell="A26" zoomScale="145" zoomScaleNormal="145" workbookViewId="0">
      <selection activeCell="B36" sqref="B36"/>
    </sheetView>
  </sheetViews>
  <sheetFormatPr defaultColWidth="8.7109375" defaultRowHeight="15" x14ac:dyDescent="0.25"/>
  <cols>
    <col min="1" max="1" width="30" customWidth="1"/>
    <col min="2" max="2" width="95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/>
    </row>
    <row r="5" spans="1:2" ht="25.5" x14ac:dyDescent="0.25">
      <c r="A5" s="5" t="s">
        <v>3</v>
      </c>
      <c r="B5" s="6" t="s">
        <v>4</v>
      </c>
    </row>
    <row r="6" spans="1:2" x14ac:dyDescent="0.25">
      <c r="A6" s="5" t="s">
        <v>5</v>
      </c>
      <c r="B6" s="6" t="s">
        <v>6</v>
      </c>
    </row>
    <row r="7" spans="1:2" x14ac:dyDescent="0.25">
      <c r="A7" s="5" t="s">
        <v>7</v>
      </c>
      <c r="B7" s="6" t="s">
        <v>8</v>
      </c>
    </row>
    <row r="8" spans="1:2" ht="25.5" x14ac:dyDescent="0.25">
      <c r="A8" s="5" t="s">
        <v>9</v>
      </c>
      <c r="B8" s="6" t="s">
        <v>10</v>
      </c>
    </row>
    <row r="9" spans="1:2" ht="25.5" x14ac:dyDescent="0.25">
      <c r="A9" s="5" t="s">
        <v>11</v>
      </c>
      <c r="B9" s="6" t="s">
        <v>12</v>
      </c>
    </row>
    <row r="10" spans="1:2" x14ac:dyDescent="0.25">
      <c r="A10" s="5" t="s">
        <v>13</v>
      </c>
      <c r="B10" s="6" t="s">
        <v>14</v>
      </c>
    </row>
    <row r="11" spans="1:2" x14ac:dyDescent="0.25">
      <c r="A11" s="5"/>
      <c r="B11" s="6"/>
    </row>
    <row r="12" spans="1:2" x14ac:dyDescent="0.25">
      <c r="A12" s="3" t="s">
        <v>15</v>
      </c>
      <c r="B12" s="4"/>
    </row>
    <row r="13" spans="1:2" x14ac:dyDescent="0.25">
      <c r="A13" s="7" t="s">
        <v>16</v>
      </c>
      <c r="B13" s="6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8" t="s">
        <v>20</v>
      </c>
      <c r="B15" s="6" t="s">
        <v>21</v>
      </c>
    </row>
    <row r="16" spans="1:2" x14ac:dyDescent="0.25">
      <c r="A16" s="5"/>
      <c r="B16" s="6"/>
    </row>
    <row r="17" spans="1:2" x14ac:dyDescent="0.25">
      <c r="A17" s="3" t="s">
        <v>22</v>
      </c>
      <c r="B17" s="4"/>
    </row>
    <row r="18" spans="1:2" ht="25.5" x14ac:dyDescent="0.25">
      <c r="A18" s="5" t="s">
        <v>23</v>
      </c>
      <c r="B18" s="6" t="s">
        <v>24</v>
      </c>
    </row>
    <row r="19" spans="1:2" ht="25.5" x14ac:dyDescent="0.25">
      <c r="A19" s="5" t="s">
        <v>25</v>
      </c>
      <c r="B19" s="6" t="s">
        <v>26</v>
      </c>
    </row>
    <row r="20" spans="1:2" x14ac:dyDescent="0.25">
      <c r="A20" s="5" t="s">
        <v>27</v>
      </c>
      <c r="B20" s="6" t="s">
        <v>28</v>
      </c>
    </row>
    <row r="21" spans="1:2" x14ac:dyDescent="0.25">
      <c r="A21" s="5" t="s">
        <v>29</v>
      </c>
      <c r="B21" s="6" t="s">
        <v>30</v>
      </c>
    </row>
    <row r="22" spans="1:2" ht="25.5" x14ac:dyDescent="0.25">
      <c r="A22" s="5" t="s">
        <v>31</v>
      </c>
      <c r="B22" s="6" t="s">
        <v>32</v>
      </c>
    </row>
    <row r="23" spans="1:2" x14ac:dyDescent="0.25">
      <c r="A23" s="5" t="s">
        <v>33</v>
      </c>
      <c r="B23" s="6" t="s">
        <v>34</v>
      </c>
    </row>
    <row r="24" spans="1:2" x14ac:dyDescent="0.25">
      <c r="A24" s="5"/>
      <c r="B24" s="6"/>
    </row>
    <row r="25" spans="1:2" x14ac:dyDescent="0.25">
      <c r="A25" s="3" t="s">
        <v>35</v>
      </c>
      <c r="B25" s="4"/>
    </row>
    <row r="26" spans="1:2" ht="38.25" x14ac:dyDescent="0.25">
      <c r="A26" s="5" t="s">
        <v>36</v>
      </c>
      <c r="B26" s="6" t="s">
        <v>37</v>
      </c>
    </row>
    <row r="27" spans="1:2" x14ac:dyDescent="0.25">
      <c r="A27" s="5" t="s">
        <v>38</v>
      </c>
      <c r="B27" s="6" t="s">
        <v>39</v>
      </c>
    </row>
    <row r="28" spans="1:2" x14ac:dyDescent="0.25">
      <c r="A28" s="5" t="s">
        <v>40</v>
      </c>
      <c r="B28" s="6" t="s">
        <v>41</v>
      </c>
    </row>
    <row r="29" spans="1:2" x14ac:dyDescent="0.25">
      <c r="A29" s="5"/>
      <c r="B29" s="6"/>
    </row>
    <row r="30" spans="1:2" x14ac:dyDescent="0.25">
      <c r="A30" s="3" t="s">
        <v>42</v>
      </c>
      <c r="B30" s="4"/>
    </row>
    <row r="31" spans="1:2" ht="25.5" x14ac:dyDescent="0.25">
      <c r="A31" s="5" t="s">
        <v>43</v>
      </c>
      <c r="B31" s="6" t="s">
        <v>44</v>
      </c>
    </row>
    <row r="32" spans="1:2" x14ac:dyDescent="0.25">
      <c r="A32" s="5" t="s">
        <v>45</v>
      </c>
      <c r="B32" s="6" t="s">
        <v>46</v>
      </c>
    </row>
    <row r="33" spans="1:2" ht="25.5" x14ac:dyDescent="0.25">
      <c r="A33" s="5" t="s">
        <v>47</v>
      </c>
      <c r="B33" s="6" t="s">
        <v>48</v>
      </c>
    </row>
    <row r="34" spans="1:2" x14ac:dyDescent="0.25">
      <c r="A34" s="5" t="s">
        <v>49</v>
      </c>
      <c r="B34" s="6" t="s">
        <v>50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"/>
  <sheetViews>
    <sheetView zoomScaleNormal="100" workbookViewId="0">
      <pane ySplit="4" topLeftCell="A5" activePane="bottomLeft" state="frozen"/>
      <selection pane="bottomLeft" activeCell="G13" sqref="G13"/>
    </sheetView>
  </sheetViews>
  <sheetFormatPr defaultColWidth="8.7109375" defaultRowHeight="15" x14ac:dyDescent="0.25"/>
  <cols>
    <col min="1" max="1" width="16" customWidth="1"/>
    <col min="2" max="2" width="14" customWidth="1"/>
    <col min="3" max="4" width="17" customWidth="1"/>
    <col min="5" max="5" width="19" customWidth="1"/>
    <col min="6" max="7" width="14" customWidth="1"/>
    <col min="8" max="8" width="16" customWidth="1"/>
  </cols>
  <sheetData>
    <row r="1" spans="1:8" ht="18" x14ac:dyDescent="0.25">
      <c r="A1" s="1" t="s">
        <v>51</v>
      </c>
    </row>
    <row r="2" spans="1:8" x14ac:dyDescent="0.25">
      <c r="A2" s="9" t="s">
        <v>52</v>
      </c>
      <c r="B2" s="10">
        <v>46298</v>
      </c>
      <c r="D2" s="9" t="s">
        <v>53</v>
      </c>
      <c r="E2" s="11">
        <v>24</v>
      </c>
    </row>
    <row r="4" spans="1:8" ht="30" customHeight="1" x14ac:dyDescent="0.25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  <c r="F4" s="12" t="s">
        <v>59</v>
      </c>
      <c r="G4" s="12" t="s">
        <v>60</v>
      </c>
      <c r="H4" s="12" t="s">
        <v>61</v>
      </c>
    </row>
    <row r="5" spans="1:8" x14ac:dyDescent="0.25">
      <c r="A5" s="13" t="s">
        <v>62</v>
      </c>
      <c r="B5" s="14" t="s">
        <v>63</v>
      </c>
      <c r="C5" s="15">
        <v>504365550</v>
      </c>
      <c r="D5" s="16">
        <f t="shared" ref="D5:D13" si="0">C5*$E$2</f>
        <v>12104773200</v>
      </c>
      <c r="E5" s="15">
        <v>19620000000</v>
      </c>
      <c r="F5" s="17">
        <f t="shared" ref="F5:F13" si="1">IF(D5=0,"",E5/D5)</f>
        <v>1.6208482121746817</v>
      </c>
      <c r="G5" s="18">
        <f t="shared" ref="G5:G13" si="2">IF(E5=0,"",D5/E5)</f>
        <v>0.61696091743119263</v>
      </c>
      <c r="H5" s="18">
        <f t="shared" ref="H5:H13" si="3">D5/$D$14</f>
        <v>0.29943178474953352</v>
      </c>
    </row>
    <row r="6" spans="1:8" x14ac:dyDescent="0.25">
      <c r="A6" s="13" t="s">
        <v>64</v>
      </c>
      <c r="B6" s="14" t="s">
        <v>65</v>
      </c>
      <c r="C6" s="15">
        <v>231075000</v>
      </c>
      <c r="D6" s="16">
        <f t="shared" si="0"/>
        <v>5545800000</v>
      </c>
      <c r="E6" s="15">
        <v>8070000000</v>
      </c>
      <c r="F6" s="17">
        <f t="shared" si="1"/>
        <v>1.4551552526236071</v>
      </c>
      <c r="G6" s="18">
        <f t="shared" si="2"/>
        <v>0.68721189591078069</v>
      </c>
      <c r="H6" s="18">
        <f t="shared" si="3"/>
        <v>0.13718462662844133</v>
      </c>
    </row>
    <row r="7" spans="1:8" x14ac:dyDescent="0.25">
      <c r="A7" s="13" t="s">
        <v>66</v>
      </c>
      <c r="B7" s="14" t="s">
        <v>63</v>
      </c>
      <c r="C7" s="15">
        <v>76216896</v>
      </c>
      <c r="D7" s="16">
        <f t="shared" si="0"/>
        <v>1829205504</v>
      </c>
      <c r="E7" s="15">
        <v>3040000000</v>
      </c>
      <c r="F7" s="17">
        <f t="shared" si="1"/>
        <v>1.6619237113338579</v>
      </c>
      <c r="G7" s="18">
        <f t="shared" si="2"/>
        <v>0.60171233684210523</v>
      </c>
      <c r="H7" s="18">
        <f t="shared" si="3"/>
        <v>4.524845362128635E-2</v>
      </c>
    </row>
    <row r="8" spans="1:8" x14ac:dyDescent="0.25">
      <c r="A8" s="13" t="s">
        <v>67</v>
      </c>
      <c r="B8" s="14" t="s">
        <v>63</v>
      </c>
      <c r="C8" s="15">
        <v>116951565</v>
      </c>
      <c r="D8" s="16">
        <f t="shared" si="0"/>
        <v>2806837560</v>
      </c>
      <c r="E8" s="15">
        <v>6630000000</v>
      </c>
      <c r="F8" s="17">
        <f t="shared" si="1"/>
        <v>2.3620889553722519</v>
      </c>
      <c r="G8" s="18">
        <f t="shared" si="2"/>
        <v>0.42335408144796383</v>
      </c>
      <c r="H8" s="18">
        <f t="shared" si="3"/>
        <v>6.943181554965655E-2</v>
      </c>
    </row>
    <row r="9" spans="1:8" x14ac:dyDescent="0.25">
      <c r="A9" s="13" t="s">
        <v>68</v>
      </c>
      <c r="B9" s="14" t="s">
        <v>65</v>
      </c>
      <c r="C9" s="15">
        <v>82929920</v>
      </c>
      <c r="D9" s="16">
        <f t="shared" si="0"/>
        <v>1990318080</v>
      </c>
      <c r="E9" s="15">
        <v>4460000000</v>
      </c>
      <c r="F9" s="17">
        <f t="shared" si="1"/>
        <v>2.2408478548313244</v>
      </c>
      <c r="G9" s="18">
        <f t="shared" si="2"/>
        <v>0.44625965919282512</v>
      </c>
      <c r="H9" s="18">
        <f t="shared" si="3"/>
        <v>4.9233842308888928E-2</v>
      </c>
    </row>
    <row r="10" spans="1:8" x14ac:dyDescent="0.25">
      <c r="A10" s="13" t="s">
        <v>69</v>
      </c>
      <c r="B10" s="14" t="s">
        <v>63</v>
      </c>
      <c r="C10" s="15">
        <v>121507456</v>
      </c>
      <c r="D10" s="16">
        <f t="shared" si="0"/>
        <v>2916178944</v>
      </c>
      <c r="E10" s="15">
        <v>11460000000</v>
      </c>
      <c r="F10" s="17">
        <f t="shared" si="1"/>
        <v>3.9297999951542066</v>
      </c>
      <c r="G10" s="18">
        <f t="shared" si="2"/>
        <v>0.25446587643979057</v>
      </c>
      <c r="H10" s="18">
        <f t="shared" si="3"/>
        <v>7.213655732524836E-2</v>
      </c>
    </row>
    <row r="11" spans="1:8" x14ac:dyDescent="0.25">
      <c r="A11" s="13" t="s">
        <v>70</v>
      </c>
      <c r="B11" s="14" t="s">
        <v>63</v>
      </c>
      <c r="C11" s="15">
        <v>208556497</v>
      </c>
      <c r="D11" s="16">
        <f t="shared" si="0"/>
        <v>5005355928</v>
      </c>
      <c r="E11" s="15">
        <v>24790000000</v>
      </c>
      <c r="F11" s="17">
        <f t="shared" si="1"/>
        <v>4.952694744708273</v>
      </c>
      <c r="G11" s="18">
        <f t="shared" si="2"/>
        <v>0.20191028350141185</v>
      </c>
      <c r="H11" s="18">
        <f t="shared" si="3"/>
        <v>0.12381583975713792</v>
      </c>
    </row>
    <row r="12" spans="1:8" x14ac:dyDescent="0.25">
      <c r="A12" s="13" t="s">
        <v>71</v>
      </c>
      <c r="B12" s="14" t="s">
        <v>63</v>
      </c>
      <c r="C12" s="15">
        <v>281927232</v>
      </c>
      <c r="D12" s="16">
        <f t="shared" si="0"/>
        <v>6766253568</v>
      </c>
      <c r="E12" s="15">
        <v>54520000000</v>
      </c>
      <c r="F12" s="17">
        <f t="shared" si="1"/>
        <v>8.0576347682038278</v>
      </c>
      <c r="G12" s="18">
        <f t="shared" si="2"/>
        <v>0.12410589816581072</v>
      </c>
      <c r="H12" s="18">
        <f t="shared" si="3"/>
        <v>0.16737458426186286</v>
      </c>
    </row>
    <row r="13" spans="1:8" x14ac:dyDescent="0.25">
      <c r="A13" s="13" t="s">
        <v>72</v>
      </c>
      <c r="B13" s="14" t="s">
        <v>63</v>
      </c>
      <c r="C13" s="15">
        <v>60878740</v>
      </c>
      <c r="D13" s="16">
        <f t="shared" si="0"/>
        <v>1461089760</v>
      </c>
      <c r="E13" s="15">
        <v>16720000000</v>
      </c>
      <c r="F13" s="17">
        <f t="shared" si="1"/>
        <v>11.443513230836688</v>
      </c>
      <c r="G13" s="18">
        <f t="shared" si="2"/>
        <v>8.7385751196172243E-2</v>
      </c>
      <c r="H13" s="18">
        <f t="shared" si="3"/>
        <v>3.61424957979442E-2</v>
      </c>
    </row>
    <row r="14" spans="1:8" x14ac:dyDescent="0.25">
      <c r="A14" s="19" t="s">
        <v>73</v>
      </c>
      <c r="B14" s="19"/>
      <c r="C14" s="20">
        <f>SUM(C5:C13)</f>
        <v>1684408856</v>
      </c>
      <c r="D14" s="20">
        <f>SUM(D5:D13)</f>
        <v>40425812544</v>
      </c>
      <c r="E14" s="20">
        <f>SUM(E5:E13)</f>
        <v>149310000000</v>
      </c>
      <c r="F14" s="21">
        <f>E14/D14</f>
        <v>3.6934322553811127</v>
      </c>
      <c r="G14" s="22">
        <f>D14/E14</f>
        <v>0.27075087096644562</v>
      </c>
      <c r="H14" s="22">
        <f>SUM(H5:H13)</f>
        <v>1</v>
      </c>
    </row>
    <row r="16" spans="1:8" x14ac:dyDescent="0.25">
      <c r="A16" s="9" t="s">
        <v>74</v>
      </c>
    </row>
    <row r="17" spans="1:1" x14ac:dyDescent="0.25">
      <c r="A17" s="2" t="s">
        <v>75</v>
      </c>
    </row>
    <row r="18" spans="1:1" x14ac:dyDescent="0.25">
      <c r="A18" s="2" t="s">
        <v>76</v>
      </c>
    </row>
    <row r="19" spans="1:1" x14ac:dyDescent="0.25">
      <c r="A19" s="2" t="s">
        <v>77</v>
      </c>
    </row>
  </sheetData>
  <dataValidations count="1">
    <dataValidation type="list" sqref="B5:B13" xr:uid="{00000000-0002-0000-0100-000000000000}">
      <formula1>"Ya,Tidak"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0"/>
  <sheetViews>
    <sheetView topLeftCell="D1" zoomScaleNormal="100" workbookViewId="0">
      <pane ySplit="4" topLeftCell="A20" activePane="bottomLeft" state="frozen"/>
      <selection pane="bottomLeft" activeCell="U30" sqref="U30"/>
    </sheetView>
  </sheetViews>
  <sheetFormatPr defaultColWidth="8.7109375" defaultRowHeight="15" x14ac:dyDescent="0.25"/>
  <cols>
    <col min="1" max="1" width="12" customWidth="1"/>
    <col min="2" max="2" width="16" customWidth="1"/>
    <col min="3" max="3" width="15" customWidth="1"/>
    <col min="4" max="4" width="14" customWidth="1"/>
    <col min="5" max="5" width="18" customWidth="1"/>
    <col min="6" max="6" width="19" customWidth="1"/>
    <col min="7" max="7" width="16" customWidth="1"/>
    <col min="8" max="8" width="12" customWidth="1"/>
  </cols>
  <sheetData>
    <row r="1" spans="1:8" ht="18" x14ac:dyDescent="0.25">
      <c r="A1" s="1" t="s">
        <v>78</v>
      </c>
    </row>
    <row r="2" spans="1:8" x14ac:dyDescent="0.25">
      <c r="A2" s="2" t="s">
        <v>79</v>
      </c>
    </row>
    <row r="4" spans="1:8" ht="30" customHeight="1" x14ac:dyDescent="0.25">
      <c r="A4" s="12" t="s">
        <v>80</v>
      </c>
      <c r="B4" s="12" t="s">
        <v>54</v>
      </c>
      <c r="C4" s="12" t="s">
        <v>59</v>
      </c>
      <c r="D4" s="12" t="s">
        <v>60</v>
      </c>
      <c r="E4" s="12" t="s">
        <v>57</v>
      </c>
      <c r="F4" s="12" t="s">
        <v>58</v>
      </c>
      <c r="G4" s="12" t="s">
        <v>61</v>
      </c>
      <c r="H4" s="12" t="s">
        <v>81</v>
      </c>
    </row>
    <row r="5" spans="1:8" x14ac:dyDescent="0.25">
      <c r="A5" s="23">
        <v>1</v>
      </c>
      <c r="B5" s="13" t="str">
        <f>INDEX(Data_Pabrik!$A$5:$A$13,MATCH(C5,Data_Pabrik!$F$5:$F$13,0))</f>
        <v>Ironworks</v>
      </c>
      <c r="C5" s="17">
        <f>SMALL(Data_Pabrik!$F$5:$F$13,A5)</f>
        <v>1.4551552526236071</v>
      </c>
      <c r="D5" s="18">
        <f>INDEX(Data_Pabrik!$G$5:$G$13,MATCH($B5,Data_Pabrik!$A$5:$A$13,0))</f>
        <v>0.68721189591078069</v>
      </c>
      <c r="E5" s="16">
        <f>INDEX(Data_Pabrik!$D$5:$D$13,MATCH($B5,Data_Pabrik!$A$5:$A$13,0))</f>
        <v>5545800000</v>
      </c>
      <c r="F5" s="16">
        <f>INDEX(Data_Pabrik!$E$5:$E$13,MATCH($B5,Data_Pabrik!$A$5:$A$13,0))</f>
        <v>8070000000</v>
      </c>
      <c r="G5" s="18">
        <f>INDEX(Data_Pabrik!$H$5:$H$13,MATCH($B5,Data_Pabrik!$A$5:$A$13,0))</f>
        <v>0.13718462662844133</v>
      </c>
      <c r="H5" s="23" t="str">
        <f t="shared" ref="H5:H13" si="0">IF(C5&lt;=$C$17,"Cepat",IF(C5&lt;=$C$18,"Sedang","Lama"))</f>
        <v>Cepat</v>
      </c>
    </row>
    <row r="6" spans="1:8" x14ac:dyDescent="0.25">
      <c r="A6" s="23">
        <f t="shared" ref="A6:A13" si="1">A5+1</f>
        <v>2</v>
      </c>
      <c r="B6" s="13" t="str">
        <f>INDEX(Data_Pabrik!$A$5:$A$13,MATCH(C6,Data_Pabrik!$F$5:$F$13,0))</f>
        <v>Concrete</v>
      </c>
      <c r="C6" s="17">
        <f>SMALL(Data_Pabrik!$F$5:$F$13,A6)</f>
        <v>1.6208482121746817</v>
      </c>
      <c r="D6" s="18">
        <f>INDEX(Data_Pabrik!$G$5:$G$13,MATCH($B6,Data_Pabrik!$A$5:$A$13,0))</f>
        <v>0.61696091743119263</v>
      </c>
      <c r="E6" s="16">
        <f>INDEX(Data_Pabrik!$D$5:$D$13,MATCH($B6,Data_Pabrik!$A$5:$A$13,0))</f>
        <v>12104773200</v>
      </c>
      <c r="F6" s="16">
        <f>INDEX(Data_Pabrik!$E$5:$E$13,MATCH($B6,Data_Pabrik!$A$5:$A$13,0))</f>
        <v>19620000000</v>
      </c>
      <c r="G6" s="18">
        <f>INDEX(Data_Pabrik!$H$5:$H$13,MATCH($B6,Data_Pabrik!$A$5:$A$13,0))</f>
        <v>0.29943178474953352</v>
      </c>
      <c r="H6" s="23" t="str">
        <f t="shared" si="0"/>
        <v>Cepat</v>
      </c>
    </row>
    <row r="7" spans="1:8" x14ac:dyDescent="0.25">
      <c r="A7" s="23">
        <f t="shared" si="1"/>
        <v>3</v>
      </c>
      <c r="B7" s="13" t="str">
        <f>INDEX(Data_Pabrik!$A$5:$A$13,MATCH(C7,Data_Pabrik!$F$5:$F$13,0))</f>
        <v>Brick</v>
      </c>
      <c r="C7" s="17">
        <f>SMALL(Data_Pabrik!$F$5:$F$13,A7)</f>
        <v>1.6619237113338579</v>
      </c>
      <c r="D7" s="18">
        <f>INDEX(Data_Pabrik!$G$5:$G$13,MATCH($B7,Data_Pabrik!$A$5:$A$13,0))</f>
        <v>0.60171233684210523</v>
      </c>
      <c r="E7" s="16">
        <f>INDEX(Data_Pabrik!$D$5:$D$13,MATCH($B7,Data_Pabrik!$A$5:$A$13,0))</f>
        <v>1829205504</v>
      </c>
      <c r="F7" s="16">
        <f>INDEX(Data_Pabrik!$E$5:$E$13,MATCH($B7,Data_Pabrik!$A$5:$A$13,0))</f>
        <v>3040000000</v>
      </c>
      <c r="G7" s="18">
        <f>INDEX(Data_Pabrik!$H$5:$H$13,MATCH($B7,Data_Pabrik!$A$5:$A$13,0))</f>
        <v>4.524845362128635E-2</v>
      </c>
      <c r="H7" s="23" t="str">
        <f t="shared" si="0"/>
        <v>Cepat</v>
      </c>
    </row>
    <row r="8" spans="1:8" x14ac:dyDescent="0.25">
      <c r="A8" s="23">
        <f t="shared" si="1"/>
        <v>4</v>
      </c>
      <c r="B8" s="13" t="str">
        <f>INDEX(Data_Pabrik!$A$5:$A$13,MATCH(C8,Data_Pabrik!$F$5:$F$13,0))</f>
        <v>Glazier</v>
      </c>
      <c r="C8" s="17">
        <f>SMALL(Data_Pabrik!$F$5:$F$13,A8)</f>
        <v>2.2408478548313244</v>
      </c>
      <c r="D8" s="18">
        <f>INDEX(Data_Pabrik!$G$5:$G$13,MATCH($B8,Data_Pabrik!$A$5:$A$13,0))</f>
        <v>0.44625965919282512</v>
      </c>
      <c r="E8" s="16">
        <f>INDEX(Data_Pabrik!$D$5:$D$13,MATCH($B8,Data_Pabrik!$A$5:$A$13,0))</f>
        <v>1990318080</v>
      </c>
      <c r="F8" s="16">
        <f>INDEX(Data_Pabrik!$E$5:$E$13,MATCH($B8,Data_Pabrik!$A$5:$A$13,0))</f>
        <v>4460000000</v>
      </c>
      <c r="G8" s="18">
        <f>INDEX(Data_Pabrik!$H$5:$H$13,MATCH($B8,Data_Pabrik!$A$5:$A$13,0))</f>
        <v>4.9233842308888928E-2</v>
      </c>
      <c r="H8" s="23" t="str">
        <f t="shared" si="0"/>
        <v>Sedang</v>
      </c>
    </row>
    <row r="9" spans="1:8" x14ac:dyDescent="0.25">
      <c r="A9" s="23">
        <f t="shared" si="1"/>
        <v>5</v>
      </c>
      <c r="B9" s="13" t="str">
        <f>INDEX(Data_Pabrik!$A$5:$A$13,MATCH(C9,Data_Pabrik!$F$5:$F$13,0))</f>
        <v>Oil</v>
      </c>
      <c r="C9" s="17">
        <f>SMALL(Data_Pabrik!$F$5:$F$13,A9)</f>
        <v>2.3620889553722519</v>
      </c>
      <c r="D9" s="18">
        <f>INDEX(Data_Pabrik!$G$5:$G$13,MATCH($B9,Data_Pabrik!$A$5:$A$13,0))</f>
        <v>0.42335408144796383</v>
      </c>
      <c r="E9" s="16">
        <f>INDEX(Data_Pabrik!$D$5:$D$13,MATCH($B9,Data_Pabrik!$A$5:$A$13,0))</f>
        <v>2806837560</v>
      </c>
      <c r="F9" s="16">
        <f>INDEX(Data_Pabrik!$E$5:$E$13,MATCH($B9,Data_Pabrik!$A$5:$A$13,0))</f>
        <v>6630000000</v>
      </c>
      <c r="G9" s="18">
        <f>INDEX(Data_Pabrik!$H$5:$H$13,MATCH($B9,Data_Pabrik!$A$5:$A$13,0))</f>
        <v>6.943181554965655E-2</v>
      </c>
      <c r="H9" s="23" t="str">
        <f t="shared" si="0"/>
        <v>Sedang</v>
      </c>
    </row>
    <row r="10" spans="1:8" x14ac:dyDescent="0.25">
      <c r="A10" s="23">
        <f t="shared" si="1"/>
        <v>6</v>
      </c>
      <c r="B10" s="13" t="str">
        <f>INDEX(Data_Pabrik!$A$5:$A$13,MATCH(C10,Data_Pabrik!$F$5:$F$13,0))</f>
        <v>Aluminium</v>
      </c>
      <c r="C10" s="17">
        <f>SMALL(Data_Pabrik!$F$5:$F$13,A10)</f>
        <v>3.9297999951542066</v>
      </c>
      <c r="D10" s="18">
        <f>INDEX(Data_Pabrik!$G$5:$G$13,MATCH($B10,Data_Pabrik!$A$5:$A$13,0))</f>
        <v>0.25446587643979057</v>
      </c>
      <c r="E10" s="16">
        <f>INDEX(Data_Pabrik!$D$5:$D$13,MATCH($B10,Data_Pabrik!$A$5:$A$13,0))</f>
        <v>2916178944</v>
      </c>
      <c r="F10" s="16">
        <f>INDEX(Data_Pabrik!$E$5:$E$13,MATCH($B10,Data_Pabrik!$A$5:$A$13,0))</f>
        <v>11460000000</v>
      </c>
      <c r="G10" s="18">
        <f>INDEX(Data_Pabrik!$H$5:$H$13,MATCH($B10,Data_Pabrik!$A$5:$A$13,0))</f>
        <v>7.213655732524836E-2</v>
      </c>
      <c r="H10" s="23" t="str">
        <f t="shared" si="0"/>
        <v>Sedang</v>
      </c>
    </row>
    <row r="11" spans="1:8" x14ac:dyDescent="0.25">
      <c r="A11" s="23">
        <f t="shared" si="1"/>
        <v>7</v>
      </c>
      <c r="B11" s="13" t="str">
        <f>INDEX(Data_Pabrik!$A$5:$A$13,MATCH(C11,Data_Pabrik!$F$5:$F$13,0))</f>
        <v>Copper</v>
      </c>
      <c r="C11" s="17">
        <f>SMALL(Data_Pabrik!$F$5:$F$13,A11)</f>
        <v>4.952694744708273</v>
      </c>
      <c r="D11" s="18">
        <f>INDEX(Data_Pabrik!$G$5:$G$13,MATCH($B11,Data_Pabrik!$A$5:$A$13,0))</f>
        <v>0.20191028350141185</v>
      </c>
      <c r="E11" s="16">
        <f>INDEX(Data_Pabrik!$D$5:$D$13,MATCH($B11,Data_Pabrik!$A$5:$A$13,0))</f>
        <v>5005355928</v>
      </c>
      <c r="F11" s="16">
        <f>INDEX(Data_Pabrik!$E$5:$E$13,MATCH($B11,Data_Pabrik!$A$5:$A$13,0))</f>
        <v>24790000000</v>
      </c>
      <c r="G11" s="18">
        <f>INDEX(Data_Pabrik!$H$5:$H$13,MATCH($B11,Data_Pabrik!$A$5:$A$13,0))</f>
        <v>0.12381583975713792</v>
      </c>
      <c r="H11" s="23" t="str">
        <f t="shared" si="0"/>
        <v>Sedang</v>
      </c>
    </row>
    <row r="12" spans="1:8" x14ac:dyDescent="0.25">
      <c r="A12" s="23">
        <f t="shared" si="1"/>
        <v>8</v>
      </c>
      <c r="B12" s="13" t="str">
        <f>INDEX(Data_Pabrik!$A$5:$A$13,MATCH(C12,Data_Pabrik!$F$5:$F$13,0))</f>
        <v>Medical</v>
      </c>
      <c r="C12" s="17">
        <f>SMALL(Data_Pabrik!$F$5:$F$13,A12)</f>
        <v>8.0576347682038278</v>
      </c>
      <c r="D12" s="18">
        <f>INDEX(Data_Pabrik!$G$5:$G$13,MATCH($B12,Data_Pabrik!$A$5:$A$13,0))</f>
        <v>0.12410589816581072</v>
      </c>
      <c r="E12" s="16">
        <f>INDEX(Data_Pabrik!$D$5:$D$13,MATCH($B12,Data_Pabrik!$A$5:$A$13,0))</f>
        <v>6766253568</v>
      </c>
      <c r="F12" s="16">
        <f>INDEX(Data_Pabrik!$E$5:$E$13,MATCH($B12,Data_Pabrik!$A$5:$A$13,0))</f>
        <v>54520000000</v>
      </c>
      <c r="G12" s="18">
        <f>INDEX(Data_Pabrik!$H$5:$H$13,MATCH($B12,Data_Pabrik!$A$5:$A$13,0))</f>
        <v>0.16737458426186286</v>
      </c>
      <c r="H12" s="23" t="str">
        <f t="shared" si="0"/>
        <v>Lama</v>
      </c>
    </row>
    <row r="13" spans="1:8" x14ac:dyDescent="0.25">
      <c r="A13" s="23">
        <f t="shared" si="1"/>
        <v>9</v>
      </c>
      <c r="B13" s="13" t="str">
        <f>INDEX(Data_Pabrik!$A$5:$A$13,MATCH(C13,Data_Pabrik!$F$5:$F$13,0))</f>
        <v>Arms</v>
      </c>
      <c r="C13" s="17">
        <f>SMALL(Data_Pabrik!$F$5:$F$13,A13)</f>
        <v>11.443513230836688</v>
      </c>
      <c r="D13" s="18">
        <f>INDEX(Data_Pabrik!$G$5:$G$13,MATCH($B13,Data_Pabrik!$A$5:$A$13,0))</f>
        <v>8.7385751196172243E-2</v>
      </c>
      <c r="E13" s="16">
        <f>INDEX(Data_Pabrik!$D$5:$D$13,MATCH($B13,Data_Pabrik!$A$5:$A$13,0))</f>
        <v>1461089760</v>
      </c>
      <c r="F13" s="16">
        <f>INDEX(Data_Pabrik!$E$5:$E$13,MATCH($B13,Data_Pabrik!$A$5:$A$13,0))</f>
        <v>16720000000</v>
      </c>
      <c r="G13" s="18">
        <f>INDEX(Data_Pabrik!$H$5:$H$13,MATCH($B13,Data_Pabrik!$A$5:$A$13,0))</f>
        <v>3.61424957979442E-2</v>
      </c>
      <c r="H13" s="23" t="str">
        <f t="shared" si="0"/>
        <v>Lama</v>
      </c>
    </row>
    <row r="16" spans="1:8" x14ac:dyDescent="0.25">
      <c r="A16" s="9" t="s">
        <v>82</v>
      </c>
    </row>
    <row r="17" spans="1:4" x14ac:dyDescent="0.25">
      <c r="A17" t="s">
        <v>83</v>
      </c>
      <c r="C17" s="11">
        <v>2</v>
      </c>
      <c r="D17" s="2" t="s">
        <v>84</v>
      </c>
    </row>
    <row r="18" spans="1:4" x14ac:dyDescent="0.25">
      <c r="A18" t="s">
        <v>85</v>
      </c>
      <c r="C18" s="11">
        <v>5</v>
      </c>
    </row>
    <row r="20" spans="1:4" x14ac:dyDescent="0.25">
      <c r="A20" s="9" t="s">
        <v>86</v>
      </c>
    </row>
    <row r="21" spans="1:4" x14ac:dyDescent="0.25">
      <c r="A21" s="24" t="s">
        <v>87</v>
      </c>
      <c r="C21" s="25">
        <f>MIN(Data_Pabrik!F5:F13)</f>
        <v>1.4551552526236071</v>
      </c>
    </row>
    <row r="22" spans="1:4" x14ac:dyDescent="0.25">
      <c r="A22" s="24" t="s">
        <v>88</v>
      </c>
      <c r="C22" s="25">
        <f>MAX(Data_Pabrik!F5:F13)</f>
        <v>11.443513230836688</v>
      </c>
    </row>
    <row r="23" spans="1:4" x14ac:dyDescent="0.25">
      <c r="A23" s="24" t="s">
        <v>89</v>
      </c>
      <c r="C23" s="25">
        <f>AVERAGE(Data_Pabrik!F5:F13)</f>
        <v>4.1916118583598578</v>
      </c>
    </row>
    <row r="24" spans="1:4" x14ac:dyDescent="0.25">
      <c r="A24" s="24" t="s">
        <v>90</v>
      </c>
      <c r="C24" s="25">
        <f>MEDIAN(Data_Pabrik!F5:F13)</f>
        <v>2.3620889553722519</v>
      </c>
    </row>
    <row r="25" spans="1:4" x14ac:dyDescent="0.25">
      <c r="A25" s="24" t="s">
        <v>91</v>
      </c>
      <c r="C25" s="25">
        <f>C23-C24</f>
        <v>1.8295229029876059</v>
      </c>
      <c r="D25" s="2" t="s">
        <v>92</v>
      </c>
    </row>
    <row r="27" spans="1:4" x14ac:dyDescent="0.25">
      <c r="A27" s="9" t="s">
        <v>93</v>
      </c>
    </row>
    <row r="28" spans="1:4" x14ac:dyDescent="0.25">
      <c r="A28" s="24" t="str">
        <f>"Tercepat balik modal: "&amp;B5&amp;" ("&amp;TEXT(C5,"0.00")&amp;" hari). Terlama: "&amp;B13&amp;" ("&amp;TEXT(C13,"0.00")&amp;" hari)."</f>
        <v>Tercepat balik modal: Ironworks (001 hari). Terlama: Arms (011 hari).</v>
      </c>
    </row>
    <row r="29" spans="1:4" x14ac:dyDescent="0.25">
      <c r="A29" s="24" t="str">
        <f>"Pabrik dengan profit/hari terbesar: "&amp;INDEX(Data_Pabrik!A5:A13,MATCH(MAX(Data_Pabrik!D5:D13),Data_Pabrik!D5:D13,0))&amp;" — apakah dia juga cepat balik modal? Cek peringkatnya di tabel."</f>
        <v>Pabrik dengan profit/hari terbesar: Concrete — apakah dia juga cepat balik modal? Cek peringkatnya di tabel.</v>
      </c>
    </row>
    <row r="30" spans="1:4" x14ac:dyDescent="0.25">
      <c r="A30" s="24" t="str">
        <f>"Payback gabungan semua pabrik: "&amp;TEXT(Data_Pabrik!F14,"0.00")&amp;" hari (total harga upgrade / total profit per hari)."</f>
        <v>Payback gabungan semua pabrik: 004 hari (total harga upgrade / total profit per hari).</v>
      </c>
    </row>
  </sheetData>
  <conditionalFormatting sqref="C5:C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7"/>
  <sheetViews>
    <sheetView zoomScale="160" zoomScaleNormal="160" workbookViewId="0">
      <selection activeCell="D6" sqref="D6"/>
    </sheetView>
  </sheetViews>
  <sheetFormatPr defaultColWidth="8.7109375" defaultRowHeight="15" x14ac:dyDescent="0.25"/>
  <cols>
    <col min="1" max="1" width="36" customWidth="1"/>
    <col min="2" max="2" width="18" customWidth="1"/>
    <col min="3" max="3" width="16" customWidth="1"/>
    <col min="4" max="4" width="22" customWidth="1"/>
    <col min="5" max="5" width="14" customWidth="1"/>
  </cols>
  <sheetData>
    <row r="1" spans="1:5" ht="18" x14ac:dyDescent="0.25">
      <c r="A1" s="1" t="s">
        <v>94</v>
      </c>
    </row>
    <row r="3" spans="1:5" x14ac:dyDescent="0.25">
      <c r="A3" s="9" t="s">
        <v>95</v>
      </c>
    </row>
    <row r="4" spans="1:5" x14ac:dyDescent="0.25">
      <c r="A4" s="24" t="s">
        <v>96</v>
      </c>
      <c r="B4" s="15">
        <v>31980</v>
      </c>
      <c r="C4" s="2" t="s">
        <v>97</v>
      </c>
    </row>
    <row r="5" spans="1:5" x14ac:dyDescent="0.25">
      <c r="A5" s="24" t="s">
        <v>98</v>
      </c>
      <c r="B5" s="15">
        <v>45464</v>
      </c>
    </row>
    <row r="6" spans="1:5" x14ac:dyDescent="0.25">
      <c r="A6" s="24" t="s">
        <v>99</v>
      </c>
      <c r="B6" s="15">
        <v>5400</v>
      </c>
    </row>
    <row r="7" spans="1:5" x14ac:dyDescent="0.25">
      <c r="A7" s="24" t="s">
        <v>100</v>
      </c>
      <c r="B7" s="15">
        <v>7</v>
      </c>
      <c r="C7" s="2" t="s">
        <v>101</v>
      </c>
    </row>
    <row r="8" spans="1:5" x14ac:dyDescent="0.25">
      <c r="A8" s="24" t="s">
        <v>102</v>
      </c>
      <c r="B8" s="15">
        <v>10</v>
      </c>
    </row>
    <row r="10" spans="1:5" x14ac:dyDescent="0.25">
      <c r="A10" s="26" t="s">
        <v>103</v>
      </c>
      <c r="B10" s="26"/>
      <c r="C10" s="26"/>
    </row>
    <row r="11" spans="1:5" x14ac:dyDescent="0.25">
      <c r="A11" s="12" t="s">
        <v>104</v>
      </c>
      <c r="B11" s="12" t="s">
        <v>105</v>
      </c>
      <c r="C11" s="12" t="s">
        <v>106</v>
      </c>
      <c r="D11" s="12" t="s">
        <v>107</v>
      </c>
    </row>
    <row r="12" spans="1:5" x14ac:dyDescent="0.25">
      <c r="A12" s="16" t="s">
        <v>108</v>
      </c>
      <c r="B12" s="16">
        <f>B4</f>
        <v>31980</v>
      </c>
      <c r="C12" s="16">
        <f>B7</f>
        <v>7</v>
      </c>
      <c r="D12" s="27">
        <f>B12/C12</f>
        <v>4568.5714285714284</v>
      </c>
    </row>
    <row r="13" spans="1:5" x14ac:dyDescent="0.25">
      <c r="A13" s="16" t="s">
        <v>109</v>
      </c>
      <c r="B13" s="16">
        <f>B5</f>
        <v>45464</v>
      </c>
      <c r="C13" s="16">
        <f>B8</f>
        <v>10</v>
      </c>
      <c r="D13" s="27">
        <f>B13/C13</f>
        <v>4546.3999999999996</v>
      </c>
    </row>
    <row r="14" spans="1:5" x14ac:dyDescent="0.25">
      <c r="A14" s="9" t="s">
        <v>110</v>
      </c>
      <c r="D14" s="28">
        <f>MIN(D12:D13,B6)</f>
        <v>4546.3999999999996</v>
      </c>
      <c r="E14" s="2" t="s">
        <v>111</v>
      </c>
    </row>
    <row r="15" spans="1:5" x14ac:dyDescent="0.25">
      <c r="A15" s="9" t="s">
        <v>112</v>
      </c>
      <c r="D15" s="9" t="str">
        <f>IF(MIN(D12:D13)&gt;=B6,"Pabrik (bahan cukup)",INDEX(A12:A13,MATCH(MIN(D12:D13),D12:D13,0)))</f>
        <v>Coal</v>
      </c>
    </row>
    <row r="16" spans="1:5" x14ac:dyDescent="0.25">
      <c r="A16" s="9" t="s">
        <v>113</v>
      </c>
      <c r="D16" s="29">
        <f>D14/B6</f>
        <v>0.84192592592592586</v>
      </c>
    </row>
    <row r="18" spans="1:5" x14ac:dyDescent="0.25">
      <c r="A18" s="26" t="s">
        <v>114</v>
      </c>
      <c r="B18" s="26"/>
      <c r="C18" s="26"/>
    </row>
    <row r="19" spans="1:5" x14ac:dyDescent="0.25">
      <c r="A19" s="12" t="s">
        <v>104</v>
      </c>
      <c r="B19" s="12" t="s">
        <v>115</v>
      </c>
      <c r="C19" s="12" t="s">
        <v>105</v>
      </c>
      <c r="D19" s="12" t="s">
        <v>116</v>
      </c>
      <c r="E19" s="12" t="s">
        <v>117</v>
      </c>
    </row>
    <row r="20" spans="1:5" x14ac:dyDescent="0.25">
      <c r="A20" s="16" t="s">
        <v>108</v>
      </c>
      <c r="B20" s="16">
        <f>$B$6*B7</f>
        <v>37800</v>
      </c>
      <c r="C20" s="16">
        <f>B4</f>
        <v>31980</v>
      </c>
      <c r="D20" s="16">
        <f>B20-C20</f>
        <v>5820</v>
      </c>
      <c r="E20" s="18">
        <f>D20/B20</f>
        <v>0.15396825396825398</v>
      </c>
    </row>
    <row r="21" spans="1:5" x14ac:dyDescent="0.25">
      <c r="A21" s="16" t="s">
        <v>109</v>
      </c>
      <c r="B21" s="16">
        <f>$B$6*B8</f>
        <v>54000</v>
      </c>
      <c r="C21" s="16">
        <f>B5</f>
        <v>45464</v>
      </c>
      <c r="D21" s="16">
        <f>B21-C21</f>
        <v>8536</v>
      </c>
      <c r="E21" s="18">
        <f>D21/B21</f>
        <v>0.15807407407407406</v>
      </c>
    </row>
    <row r="22" spans="1:5" x14ac:dyDescent="0.25">
      <c r="A22" s="2" t="s">
        <v>118</v>
      </c>
    </row>
    <row r="24" spans="1:5" x14ac:dyDescent="0.25">
      <c r="A24" s="26" t="s">
        <v>119</v>
      </c>
      <c r="B24" s="26"/>
      <c r="C24" s="26"/>
    </row>
    <row r="25" spans="1:5" x14ac:dyDescent="0.25">
      <c r="A25" s="24" t="s">
        <v>120</v>
      </c>
    </row>
    <row r="26" spans="1:5" x14ac:dyDescent="0.25">
      <c r="A26" s="24" t="s">
        <v>121</v>
      </c>
    </row>
    <row r="27" spans="1:5" x14ac:dyDescent="0.25">
      <c r="A27" s="24" t="s">
        <v>122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Panduan</vt:lpstr>
      <vt:lpstr>Data_Pabrik</vt:lpstr>
      <vt:lpstr>Analisis</vt:lpstr>
      <vt:lpstr>Ironworks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 Ntap</cp:lastModifiedBy>
  <cp:revision>1</cp:revision>
  <dcterms:created xsi:type="dcterms:W3CDTF">2026-10-10T06:45:29Z</dcterms:created>
  <dcterms:modified xsi:type="dcterms:W3CDTF">2026-10-10T07:11:20Z</dcterms:modified>
  <dc:language>en-US</dc:language>
</cp:coreProperties>
</file>